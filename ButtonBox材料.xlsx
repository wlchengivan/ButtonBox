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Z:\IT Department\Ivan\Dobot\buttonbox\"/>
    </mc:Choice>
  </mc:AlternateContent>
  <xr:revisionPtr revIDLastSave="0" documentId="13_ncr:1_{1E48AFDD-2CBD-44BE-A6B8-AD42ABFC1585}" xr6:coauthVersionLast="47" xr6:coauthVersionMax="47" xr10:uidLastSave="{00000000-0000-0000-0000-000000000000}"/>
  <bookViews>
    <workbookView xWindow="-120" yWindow="-120" windowWidth="29040" windowHeight="15720" xr2:uid="{A671B143-C472-48EC-9505-2DC0BD2BAA1C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O8" i="1"/>
  <c r="O3" i="1"/>
  <c r="N8" i="1"/>
  <c r="M8" i="1"/>
  <c r="N7" i="1"/>
  <c r="M7" i="1"/>
  <c r="N4" i="1"/>
  <c r="N5" i="1"/>
  <c r="N6" i="1"/>
  <c r="N3" i="1"/>
  <c r="M4" i="1"/>
  <c r="M5" i="1"/>
  <c r="M6" i="1"/>
  <c r="M3" i="1"/>
  <c r="O15" i="1" l="1"/>
</calcChain>
</file>

<file path=xl/sharedStrings.xml><?xml version="1.0" encoding="utf-8"?>
<sst xmlns="http://schemas.openxmlformats.org/spreadsheetml/2006/main" count="24" uniqueCount="21">
  <si>
    <t>Button Box 材料清單</t>
    <phoneticPr fontId="2" type="noConversion"/>
  </si>
  <si>
    <t>Button連Led燈(紅藍綠黃白)</t>
    <phoneticPr fontId="2" type="noConversion"/>
  </si>
  <si>
    <t>物品</t>
    <phoneticPr fontId="2" type="noConversion"/>
  </si>
  <si>
    <t>數量</t>
    <phoneticPr fontId="2" type="noConversion"/>
  </si>
  <si>
    <t>額外材料</t>
    <phoneticPr fontId="2" type="noConversion"/>
  </si>
  <si>
    <t>電線</t>
    <phoneticPr fontId="2" type="noConversion"/>
  </si>
  <si>
    <t>電膠膠布</t>
    <phoneticPr fontId="2" type="noConversion"/>
  </si>
  <si>
    <t>單價</t>
    <phoneticPr fontId="2" type="noConversion"/>
  </si>
  <si>
    <t>組</t>
    <phoneticPr fontId="2" type="noConversion"/>
  </si>
  <si>
    <t>條</t>
    <phoneticPr fontId="2" type="noConversion"/>
  </si>
  <si>
    <t>塊</t>
    <phoneticPr fontId="2" type="noConversion"/>
  </si>
  <si>
    <t>個</t>
    <phoneticPr fontId="2" type="noConversion"/>
  </si>
  <si>
    <t>製作數量</t>
    <phoneticPr fontId="2" type="noConversion"/>
  </si>
  <si>
    <t>合共</t>
    <phoneticPr fontId="2" type="noConversion"/>
  </si>
  <si>
    <t>總計</t>
    <phoneticPr fontId="2" type="noConversion"/>
  </si>
  <si>
    <t>總成本</t>
    <phoneticPr fontId="2" type="noConversion"/>
  </si>
  <si>
    <t>電路板(ARDUINO MEGA 2560)</t>
    <phoneticPr fontId="2" type="noConversion"/>
  </si>
  <si>
    <t>木盒(30cm*30cm*10cm)</t>
    <phoneticPr fontId="2" type="noConversion"/>
  </si>
  <si>
    <t>1to2端子</t>
    <phoneticPr fontId="2" type="noConversion"/>
  </si>
  <si>
    <t>3to15端子</t>
    <phoneticPr fontId="2" type="noConversion"/>
  </si>
  <si>
    <t>杜比線(母對公)(30cm)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</si>
</sst>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HK$&quot;#,##0.00;[Red]&quot;HK$&quot;#,##0.00"/>
  </numFmts>
  <fonts count="3" x14ac:knownFonts="1">
    <font>
      <sz val="12"/>
      <color theme="1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6" fontId="0" fillId="2" borderId="0" xfId="0" applyNumberFormat="1" applyFill="1">
      <alignment vertical="center"/>
    </xf>
    <xf numFmtId="176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21D0-5412-4ED8-8288-A8C08B7C077F}">
  <dimension ref="F1:O17"/>
  <sheetViews>
    <sheetView tabSelected="1" workbookViewId="0">
      <selection activeCell="I11" sqref="I11"/>
    </sheetView>
  </sheetViews>
  <sheetFormatPr defaultRowHeight="16.5" x14ac:dyDescent="0.25"/>
  <cols>
    <col min="6" max="6" width="31.125" bestFit="1" customWidth="1"/>
    <col min="8" max="8" width="9.5" bestFit="1" customWidth="1"/>
  </cols>
  <sheetData>
    <row r="1" spans="6:15" x14ac:dyDescent="0.25">
      <c r="F1" s="6" t="s">
        <v>0</v>
      </c>
      <c r="G1" s="6"/>
      <c r="H1" s="6"/>
      <c r="I1" s="6"/>
      <c r="M1" t="s">
        <v>12</v>
      </c>
      <c r="N1" s="5">
        <v>1</v>
      </c>
    </row>
    <row r="2" spans="6:15" x14ac:dyDescent="0.25">
      <c r="F2" s="1" t="s">
        <v>2</v>
      </c>
      <c r="G2" s="6" t="s">
        <v>3</v>
      </c>
      <c r="H2" s="6"/>
      <c r="I2" s="1" t="s">
        <v>7</v>
      </c>
      <c r="J2" s="1"/>
      <c r="K2" s="1"/>
      <c r="M2" s="6" t="s">
        <v>13</v>
      </c>
      <c r="N2" s="6"/>
      <c r="O2" t="s">
        <v>14</v>
      </c>
    </row>
    <row r="3" spans="6:15" x14ac:dyDescent="0.25">
      <c r="F3" t="s">
        <v>1</v>
      </c>
      <c r="G3">
        <v>1</v>
      </c>
      <c r="H3" t="s">
        <v>8</v>
      </c>
      <c r="I3" s="3"/>
      <c r="M3">
        <f>G3*$N$1</f>
        <v>1</v>
      </c>
      <c r="N3" t="str">
        <f>H3</f>
        <v>組</v>
      </c>
      <c r="O3" s="2">
        <f>I3*$N$1*G3</f>
        <v>0</v>
      </c>
    </row>
    <row r="4" spans="6:15" x14ac:dyDescent="0.25">
      <c r="F4" t="s">
        <v>20</v>
      </c>
      <c r="G4">
        <v>11</v>
      </c>
      <c r="H4" t="s">
        <v>9</v>
      </c>
      <c r="I4" s="3"/>
      <c r="M4">
        <f t="shared" ref="M4:M8" si="0">G4*$N$1</f>
        <v>11</v>
      </c>
      <c r="N4" t="str">
        <f t="shared" ref="N4:N8" si="1">H4</f>
        <v>條</v>
      </c>
      <c r="O4" s="2">
        <f t="shared" ref="O4:O8" si="2">I4*$N$1*G4</f>
        <v>0</v>
      </c>
    </row>
    <row r="5" spans="6:15" x14ac:dyDescent="0.25">
      <c r="F5" t="s">
        <v>16</v>
      </c>
      <c r="G5">
        <v>1</v>
      </c>
      <c r="H5" t="s">
        <v>10</v>
      </c>
      <c r="I5" s="3"/>
      <c r="M5">
        <f t="shared" si="0"/>
        <v>1</v>
      </c>
      <c r="N5" t="str">
        <f t="shared" si="1"/>
        <v>塊</v>
      </c>
      <c r="O5" s="2">
        <f t="shared" si="2"/>
        <v>0</v>
      </c>
    </row>
    <row r="6" spans="6:15" x14ac:dyDescent="0.25">
      <c r="F6" t="s">
        <v>17</v>
      </c>
      <c r="G6">
        <v>1</v>
      </c>
      <c r="H6" t="s">
        <v>11</v>
      </c>
      <c r="I6" s="3"/>
      <c r="M6">
        <f t="shared" si="0"/>
        <v>1</v>
      </c>
      <c r="N6" t="str">
        <f t="shared" si="1"/>
        <v>個</v>
      </c>
      <c r="O6" s="2">
        <f t="shared" si="2"/>
        <v>0</v>
      </c>
    </row>
    <row r="7" spans="6:15" x14ac:dyDescent="0.25">
      <c r="F7" t="s">
        <v>19</v>
      </c>
      <c r="G7">
        <v>1</v>
      </c>
      <c r="H7" t="s">
        <v>11</v>
      </c>
      <c r="I7" s="3"/>
      <c r="M7">
        <f t="shared" si="0"/>
        <v>1</v>
      </c>
      <c r="N7" t="str">
        <f t="shared" si="1"/>
        <v>個</v>
      </c>
      <c r="O7" s="2">
        <f t="shared" si="2"/>
        <v>0</v>
      </c>
    </row>
    <row r="8" spans="6:15" x14ac:dyDescent="0.25">
      <c r="F8" t="s">
        <v>18</v>
      </c>
      <c r="G8">
        <v>1</v>
      </c>
      <c r="H8" t="s">
        <v>11</v>
      </c>
      <c r="I8" s="3"/>
      <c r="M8">
        <f t="shared" si="0"/>
        <v>1</v>
      </c>
      <c r="N8" t="str">
        <f t="shared" si="1"/>
        <v>個</v>
      </c>
      <c r="O8" s="2">
        <f t="shared" si="2"/>
        <v>0</v>
      </c>
    </row>
    <row r="15" spans="6:15" x14ac:dyDescent="0.25">
      <c r="F15" t="s">
        <v>4</v>
      </c>
      <c r="G15" s="1" t="s">
        <v>7</v>
      </c>
      <c r="N15" t="s">
        <v>15</v>
      </c>
      <c r="O15" s="4">
        <f>SUM(O3:O8)+SUM(G16:G18)</f>
        <v>0</v>
      </c>
    </row>
    <row r="16" spans="6:15" x14ac:dyDescent="0.25">
      <c r="F16" t="s">
        <v>5</v>
      </c>
      <c r="G16" s="3"/>
    </row>
    <row r="17" spans="6:7" x14ac:dyDescent="0.25">
      <c r="F17" t="s">
        <v>6</v>
      </c>
      <c r="G17" s="3"/>
    </row>
  </sheetData>
  <mergeCells count="3">
    <mergeCell ref="G2:H2"/>
    <mergeCell ref="M2:N2"/>
    <mergeCell ref="F1:I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2418</dc:creator>
  <cp:lastModifiedBy>2418</cp:lastModifiedBy>
  <dcterms:created xsi:type="dcterms:W3CDTF">2025-02-17T06:30:39Z</dcterms:created>
  <dcterms:modified xsi:type="dcterms:W3CDTF">2025-11-17T06:48:23Z</dcterms:modified>
</cp:coreProperties>
</file>